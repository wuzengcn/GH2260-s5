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z192/Library/CloudStorage/GoogleDrive-wz192@georgetown.edu/My Drive/GU/Teach/2026-02-Fall/GLOH2260/GH2260-s5/"/>
    </mc:Choice>
  </mc:AlternateContent>
  <xr:revisionPtr revIDLastSave="0" documentId="13_ncr:1_{DAEABC20-F993-3A4F-B080-E8BEB3ECAD1A}" xr6:coauthVersionLast="47" xr6:coauthVersionMax="47" xr10:uidLastSave="{00000000-0000-0000-0000-000000000000}"/>
  <bookViews>
    <workbookView xWindow="8420" yWindow="10020" windowWidth="28040" windowHeight="17180" activeTab="1" xr2:uid="{9D380B19-4997-EC41-A49F-EACD79392D3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G47" i="1"/>
  <c r="H47" i="1"/>
  <c r="I47" i="1"/>
  <c r="C47" i="1"/>
  <c r="D47" i="1"/>
  <c r="E47" i="1"/>
  <c r="B47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3" i="1"/>
  <c r="G4" i="1"/>
  <c r="G5" i="1"/>
  <c r="G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" i="1"/>
  <c r="E7" i="1"/>
  <c r="G7" i="1" s="1"/>
  <c r="C8" i="1"/>
  <c r="C9" i="1" s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C10" i="1"/>
  <c r="G9" i="1"/>
  <c r="G8" i="1"/>
  <c r="C11" i="1" l="1"/>
  <c r="G10" i="1"/>
  <c r="C12" i="1" l="1"/>
  <c r="G11" i="1"/>
  <c r="C13" i="1" l="1"/>
  <c r="G12" i="1"/>
  <c r="C14" i="1" l="1"/>
  <c r="G13" i="1"/>
  <c r="C15" i="1" l="1"/>
  <c r="G14" i="1"/>
  <c r="C16" i="1" l="1"/>
  <c r="G15" i="1"/>
  <c r="C17" i="1" l="1"/>
  <c r="G16" i="1"/>
  <c r="C18" i="1" l="1"/>
  <c r="G17" i="1"/>
  <c r="C19" i="1" l="1"/>
  <c r="G18" i="1"/>
  <c r="C20" i="1" l="1"/>
  <c r="G19" i="1"/>
  <c r="C21" i="1" l="1"/>
  <c r="G20" i="1"/>
  <c r="C22" i="1" l="1"/>
  <c r="G21" i="1"/>
  <c r="C23" i="1" l="1"/>
  <c r="G22" i="1"/>
  <c r="C24" i="1" l="1"/>
  <c r="G23" i="1"/>
  <c r="C25" i="1" l="1"/>
  <c r="G24" i="1"/>
  <c r="C26" i="1" l="1"/>
  <c r="G25" i="1"/>
  <c r="C27" i="1" l="1"/>
  <c r="G26" i="1"/>
  <c r="C28" i="1" l="1"/>
  <c r="G27" i="1"/>
  <c r="C29" i="1" l="1"/>
  <c r="G28" i="1"/>
  <c r="C30" i="1" l="1"/>
  <c r="G29" i="1"/>
  <c r="C31" i="1" l="1"/>
  <c r="G30" i="1"/>
  <c r="C32" i="1" l="1"/>
  <c r="G31" i="1"/>
  <c r="C33" i="1" l="1"/>
  <c r="G32" i="1"/>
  <c r="C34" i="1" l="1"/>
  <c r="G33" i="1"/>
  <c r="C35" i="1" l="1"/>
  <c r="G34" i="1"/>
  <c r="C36" i="1" l="1"/>
  <c r="G35" i="1"/>
  <c r="C37" i="1" l="1"/>
  <c r="G36" i="1"/>
  <c r="C38" i="1" l="1"/>
  <c r="G37" i="1"/>
  <c r="C39" i="1" l="1"/>
  <c r="G38" i="1"/>
  <c r="C40" i="1" l="1"/>
  <c r="G39" i="1"/>
  <c r="G40" i="1" l="1"/>
  <c r="C41" i="1"/>
  <c r="C42" i="1" l="1"/>
  <c r="G41" i="1"/>
  <c r="C43" i="1" l="1"/>
  <c r="G42" i="1"/>
  <c r="C44" i="1" l="1"/>
  <c r="G43" i="1"/>
  <c r="C45" i="1" l="1"/>
  <c r="G44" i="1"/>
  <c r="C46" i="1" l="1"/>
  <c r="G46" i="1" s="1"/>
  <c r="G45" i="1"/>
</calcChain>
</file>

<file path=xl/sharedStrings.xml><?xml version="1.0" encoding="utf-8"?>
<sst xmlns="http://schemas.openxmlformats.org/spreadsheetml/2006/main" count="36" uniqueCount="18">
  <si>
    <t>Year</t>
  </si>
  <si>
    <t>Salary iincrease rate</t>
  </si>
  <si>
    <t>Discount rate</t>
  </si>
  <si>
    <t>Georgetown</t>
  </si>
  <si>
    <t>No Georgetown</t>
  </si>
  <si>
    <t>Present value</t>
  </si>
  <si>
    <t>Total</t>
  </si>
  <si>
    <t>Future value</t>
  </si>
  <si>
    <t>Cost1</t>
  </si>
  <si>
    <t xml:space="preserve">Benefit1 </t>
  </si>
  <si>
    <t>Cost0</t>
  </si>
  <si>
    <t xml:space="preserve">Benefit0 </t>
  </si>
  <si>
    <t>Net cost (FV)</t>
  </si>
  <si>
    <t>Net benefit (FV)</t>
  </si>
  <si>
    <t>Net cost (PV)</t>
  </si>
  <si>
    <t>Net nenefit (PV)</t>
  </si>
  <si>
    <t>…</t>
  </si>
  <si>
    <t>31,050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</si>
</sst>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3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quotePrefix="1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04B2-CB47-F646-8C73-F6F4C94E594C}">
  <dimension ref="A1:L47"/>
  <sheetViews>
    <sheetView topLeftCell="A15" workbookViewId="0">
      <selection activeCell="B47" sqref="B47:I47"/>
    </sheetView>
  </sheetViews>
  <sheetFormatPr baseColWidth="10" defaultRowHeight="16" x14ac:dyDescent="0.2"/>
  <cols>
    <col min="2" max="2" width="11.5" bestFit="1" customWidth="1"/>
    <col min="3" max="3" width="13" bestFit="1" customWidth="1"/>
    <col min="4" max="4" width="11" bestFit="1" customWidth="1"/>
    <col min="5" max="5" width="13" bestFit="1" customWidth="1"/>
    <col min="6" max="6" width="15" customWidth="1"/>
    <col min="7" max="7" width="13" bestFit="1" customWidth="1"/>
    <col min="8" max="8" width="11.5" bestFit="1" customWidth="1"/>
    <col min="9" max="9" width="13" bestFit="1" customWidth="1"/>
    <col min="11" max="11" width="13.5" customWidth="1"/>
  </cols>
  <sheetData>
    <row r="1" spans="1:12" x14ac:dyDescent="0.2">
      <c r="B1" s="4" t="s">
        <v>3</v>
      </c>
      <c r="C1" s="4"/>
      <c r="D1" s="4" t="s">
        <v>4</v>
      </c>
      <c r="E1" s="4"/>
      <c r="F1" s="4" t="s">
        <v>7</v>
      </c>
      <c r="G1" s="4"/>
      <c r="H1" s="4" t="s">
        <v>5</v>
      </c>
      <c r="I1" s="4"/>
      <c r="J1" s="3"/>
    </row>
    <row r="2" spans="1:12" x14ac:dyDescent="0.2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K2" t="s">
        <v>1</v>
      </c>
      <c r="L2" s="1">
        <v>3.5000000000000003E-2</v>
      </c>
    </row>
    <row r="3" spans="1:12" x14ac:dyDescent="0.2">
      <c r="A3">
        <v>0</v>
      </c>
      <c r="B3" s="6">
        <v>70000</v>
      </c>
      <c r="C3" s="6">
        <v>0</v>
      </c>
      <c r="D3" s="6">
        <v>0</v>
      </c>
      <c r="E3" s="6">
        <v>30000</v>
      </c>
      <c r="F3" s="6">
        <f>B3-D3</f>
        <v>70000</v>
      </c>
      <c r="G3" s="6">
        <f>C3-E3</f>
        <v>-30000</v>
      </c>
      <c r="H3" s="6">
        <f>F3/(1+$L$3)^A3</f>
        <v>70000</v>
      </c>
      <c r="I3" s="6">
        <f>G3/(1+$L$3)^A3</f>
        <v>-30000</v>
      </c>
      <c r="J3" s="5"/>
      <c r="K3" t="s">
        <v>2</v>
      </c>
      <c r="L3" s="2">
        <v>0.03</v>
      </c>
    </row>
    <row r="4" spans="1:12" x14ac:dyDescent="0.2">
      <c r="A4">
        <v>1</v>
      </c>
      <c r="B4" s="6">
        <v>70000</v>
      </c>
      <c r="C4" s="6">
        <v>0</v>
      </c>
      <c r="D4" s="6">
        <v>0</v>
      </c>
      <c r="E4" s="6">
        <v>30000</v>
      </c>
      <c r="F4" s="6">
        <f t="shared" ref="F4:F46" si="0">B4-D4</f>
        <v>70000</v>
      </c>
      <c r="G4" s="6">
        <f t="shared" ref="G4:G46" si="1">C4-E4</f>
        <v>-30000</v>
      </c>
      <c r="H4" s="6">
        <f t="shared" ref="H4:H46" si="2">F4/(1+$L$3)^A4</f>
        <v>67961.165048543684</v>
      </c>
      <c r="I4" s="6">
        <f t="shared" ref="I4:I46" si="3">G4/(1+$L$3)^A4</f>
        <v>-29126.213592233009</v>
      </c>
      <c r="J4" s="5"/>
    </row>
    <row r="5" spans="1:12" x14ac:dyDescent="0.2">
      <c r="A5">
        <v>2</v>
      </c>
      <c r="B5" s="6">
        <v>70000</v>
      </c>
      <c r="C5" s="6">
        <v>0</v>
      </c>
      <c r="D5" s="6">
        <v>0</v>
      </c>
      <c r="E5" s="6">
        <v>30000</v>
      </c>
      <c r="F5" s="6">
        <f t="shared" si="0"/>
        <v>70000</v>
      </c>
      <c r="G5" s="6">
        <f t="shared" si="1"/>
        <v>-30000</v>
      </c>
      <c r="H5" s="6">
        <f t="shared" si="2"/>
        <v>65981.713639362802</v>
      </c>
      <c r="I5" s="6">
        <f t="shared" si="3"/>
        <v>-28277.877274012633</v>
      </c>
      <c r="J5" s="5"/>
    </row>
    <row r="6" spans="1:12" x14ac:dyDescent="0.2">
      <c r="A6">
        <v>3</v>
      </c>
      <c r="B6" s="6">
        <v>70000</v>
      </c>
      <c r="C6" s="6">
        <v>0</v>
      </c>
      <c r="D6" s="6">
        <v>0</v>
      </c>
      <c r="E6" s="6">
        <v>30000</v>
      </c>
      <c r="F6" s="6">
        <f t="shared" si="0"/>
        <v>70000</v>
      </c>
      <c r="G6" s="6">
        <f t="shared" si="1"/>
        <v>-30000</v>
      </c>
      <c r="H6" s="6">
        <f t="shared" si="2"/>
        <v>64059.91615472117</v>
      </c>
      <c r="I6" s="6">
        <f t="shared" si="3"/>
        <v>-27454.249780594786</v>
      </c>
      <c r="J6" s="5"/>
    </row>
    <row r="7" spans="1:12" x14ac:dyDescent="0.2">
      <c r="A7">
        <v>4</v>
      </c>
      <c r="B7" s="6">
        <v>0</v>
      </c>
      <c r="C7" s="6">
        <v>80000</v>
      </c>
      <c r="D7" s="6">
        <v>0</v>
      </c>
      <c r="E7" s="6">
        <f>50000</f>
        <v>50000</v>
      </c>
      <c r="F7" s="6">
        <f t="shared" si="0"/>
        <v>0</v>
      </c>
      <c r="G7" s="6">
        <f t="shared" si="1"/>
        <v>30000</v>
      </c>
      <c r="H7" s="6">
        <f t="shared" si="2"/>
        <v>0</v>
      </c>
      <c r="I7" s="6">
        <f t="shared" si="3"/>
        <v>26654.61143747067</v>
      </c>
      <c r="J7" s="5"/>
    </row>
    <row r="8" spans="1:12" x14ac:dyDescent="0.2">
      <c r="A8">
        <v>5</v>
      </c>
      <c r="B8" s="6">
        <v>0</v>
      </c>
      <c r="C8" s="6">
        <f>C7*(1+$L$2)</f>
        <v>82800</v>
      </c>
      <c r="D8" s="6">
        <v>0</v>
      </c>
      <c r="E8" s="6">
        <f>E7*(1+$L$2)</f>
        <v>51749.999999999993</v>
      </c>
      <c r="F8" s="6">
        <f t="shared" si="0"/>
        <v>0</v>
      </c>
      <c r="G8" s="6">
        <f t="shared" si="1"/>
        <v>31050.000000000007</v>
      </c>
      <c r="H8" s="6">
        <f t="shared" si="2"/>
        <v>0</v>
      </c>
      <c r="I8" s="6">
        <f t="shared" si="3"/>
        <v>26784.002755128302</v>
      </c>
      <c r="J8" s="5"/>
    </row>
    <row r="9" spans="1:12" x14ac:dyDescent="0.2">
      <c r="A9">
        <v>6</v>
      </c>
      <c r="B9" s="6">
        <v>0</v>
      </c>
      <c r="C9" s="6">
        <f t="shared" ref="C9:C46" si="4">C8*(1+$L$2)</f>
        <v>85698</v>
      </c>
      <c r="D9" s="6">
        <v>0</v>
      </c>
      <c r="E9" s="6">
        <f t="shared" ref="E9:E46" si="5">E8*(1+$L$2)</f>
        <v>53561.249999999985</v>
      </c>
      <c r="F9" s="6">
        <f t="shared" si="0"/>
        <v>0</v>
      </c>
      <c r="G9" s="6">
        <f t="shared" si="1"/>
        <v>32136.750000000015</v>
      </c>
      <c r="H9" s="6">
        <f t="shared" si="2"/>
        <v>0</v>
      </c>
      <c r="I9" s="6">
        <f t="shared" si="3"/>
        <v>26914.022185978443</v>
      </c>
      <c r="J9" s="5"/>
    </row>
    <row r="10" spans="1:12" x14ac:dyDescent="0.2">
      <c r="A10">
        <v>7</v>
      </c>
      <c r="B10" s="6">
        <v>0</v>
      </c>
      <c r="C10" s="6">
        <f t="shared" si="4"/>
        <v>88697.43</v>
      </c>
      <c r="D10" s="6">
        <v>0</v>
      </c>
      <c r="E10" s="6">
        <f t="shared" si="5"/>
        <v>55435.893749999981</v>
      </c>
      <c r="F10" s="6">
        <f t="shared" si="0"/>
        <v>0</v>
      </c>
      <c r="G10" s="6">
        <f t="shared" si="1"/>
        <v>33261.536250000012</v>
      </c>
      <c r="H10" s="6">
        <f t="shared" si="2"/>
        <v>0</v>
      </c>
      <c r="I10" s="6">
        <f t="shared" si="3"/>
        <v>27044.672779114258</v>
      </c>
      <c r="J10" s="5"/>
    </row>
    <row r="11" spans="1:12" x14ac:dyDescent="0.2">
      <c r="A11">
        <v>8</v>
      </c>
      <c r="B11" s="6">
        <v>0</v>
      </c>
      <c r="C11" s="6">
        <f t="shared" si="4"/>
        <v>91801.840049999984</v>
      </c>
      <c r="D11" s="6">
        <v>0</v>
      </c>
      <c r="E11" s="6">
        <f t="shared" si="5"/>
        <v>57376.150031249977</v>
      </c>
      <c r="F11" s="6">
        <f t="shared" si="0"/>
        <v>0</v>
      </c>
      <c r="G11" s="6">
        <f t="shared" si="1"/>
        <v>34425.690018750007</v>
      </c>
      <c r="H11" s="6">
        <f t="shared" si="2"/>
        <v>0</v>
      </c>
      <c r="I11" s="6">
        <f t="shared" si="3"/>
        <v>27175.957598430345</v>
      </c>
      <c r="J11" s="5"/>
    </row>
    <row r="12" spans="1:12" x14ac:dyDescent="0.2">
      <c r="A12">
        <v>9</v>
      </c>
      <c r="B12" s="6">
        <v>0</v>
      </c>
      <c r="C12" s="6">
        <f t="shared" si="4"/>
        <v>95014.904451749971</v>
      </c>
      <c r="D12" s="6">
        <v>0</v>
      </c>
      <c r="E12" s="6">
        <f t="shared" si="5"/>
        <v>59384.315282343719</v>
      </c>
      <c r="F12" s="6">
        <f t="shared" si="0"/>
        <v>0</v>
      </c>
      <c r="G12" s="6">
        <f t="shared" si="1"/>
        <v>35630.589169406252</v>
      </c>
      <c r="H12" s="6">
        <f t="shared" si="2"/>
        <v>0</v>
      </c>
      <c r="I12" s="6">
        <f t="shared" si="3"/>
        <v>27307.879722694564</v>
      </c>
      <c r="J12" s="5"/>
    </row>
    <row r="13" spans="1:12" x14ac:dyDescent="0.2">
      <c r="A13">
        <v>10</v>
      </c>
      <c r="B13" s="6">
        <v>0</v>
      </c>
      <c r="C13" s="6">
        <f t="shared" si="4"/>
        <v>98340.426107561216</v>
      </c>
      <c r="D13" s="6">
        <v>0</v>
      </c>
      <c r="E13" s="6">
        <f t="shared" si="5"/>
        <v>61462.766317225745</v>
      </c>
      <c r="F13" s="6">
        <f t="shared" si="0"/>
        <v>0</v>
      </c>
      <c r="G13" s="6">
        <f t="shared" si="1"/>
        <v>36877.65979033547</v>
      </c>
      <c r="H13" s="6">
        <f t="shared" si="2"/>
        <v>0</v>
      </c>
      <c r="I13" s="6">
        <f t="shared" si="3"/>
        <v>27440.442245620266</v>
      </c>
      <c r="J13" s="5"/>
    </row>
    <row r="14" spans="1:12" x14ac:dyDescent="0.2">
      <c r="A14">
        <v>11</v>
      </c>
      <c r="B14" s="6">
        <v>0</v>
      </c>
      <c r="C14" s="6">
        <f t="shared" si="4"/>
        <v>101782.34102132585</v>
      </c>
      <c r="D14" s="6">
        <v>0</v>
      </c>
      <c r="E14" s="6">
        <f t="shared" si="5"/>
        <v>63613.96313832864</v>
      </c>
      <c r="F14" s="6">
        <f t="shared" si="0"/>
        <v>0</v>
      </c>
      <c r="G14" s="6">
        <f t="shared" si="1"/>
        <v>38168.377882997207</v>
      </c>
      <c r="H14" s="6">
        <f t="shared" si="2"/>
        <v>0</v>
      </c>
      <c r="I14" s="6">
        <f t="shared" si="3"/>
        <v>27573.648275938805</v>
      </c>
      <c r="J14" s="5"/>
    </row>
    <row r="15" spans="1:12" x14ac:dyDescent="0.2">
      <c r="A15">
        <v>12</v>
      </c>
      <c r="B15" s="6">
        <v>0</v>
      </c>
      <c r="C15" s="6">
        <f t="shared" si="4"/>
        <v>105344.72295707224</v>
      </c>
      <c r="D15" s="6">
        <v>0</v>
      </c>
      <c r="E15" s="6">
        <f t="shared" si="5"/>
        <v>65840.451848170138</v>
      </c>
      <c r="F15" s="6">
        <f t="shared" si="0"/>
        <v>0</v>
      </c>
      <c r="G15" s="6">
        <f t="shared" si="1"/>
        <v>39504.271108902103</v>
      </c>
      <c r="H15" s="6">
        <f t="shared" si="2"/>
        <v>0</v>
      </c>
      <c r="I15" s="6">
        <f t="shared" si="3"/>
        <v>27707.50093747249</v>
      </c>
      <c r="J15" s="5"/>
    </row>
    <row r="16" spans="1:12" x14ac:dyDescent="0.2">
      <c r="A16">
        <v>13</v>
      </c>
      <c r="B16" s="6">
        <v>0</v>
      </c>
      <c r="C16" s="6">
        <f t="shared" si="4"/>
        <v>109031.78826056977</v>
      </c>
      <c r="D16" s="6">
        <v>0</v>
      </c>
      <c r="E16" s="6">
        <f t="shared" si="5"/>
        <v>68144.867662856093</v>
      </c>
      <c r="F16" s="6">
        <f t="shared" si="0"/>
        <v>0</v>
      </c>
      <c r="G16" s="6">
        <f t="shared" si="1"/>
        <v>40886.920597713673</v>
      </c>
      <c r="H16" s="6">
        <f t="shared" si="2"/>
        <v>0</v>
      </c>
      <c r="I16" s="6">
        <f t="shared" si="3"/>
        <v>27842.003369207792</v>
      </c>
      <c r="J16" s="5"/>
    </row>
    <row r="17" spans="1:10" x14ac:dyDescent="0.2">
      <c r="A17">
        <v>14</v>
      </c>
      <c r="B17" s="6">
        <v>0</v>
      </c>
      <c r="C17" s="6">
        <f t="shared" si="4"/>
        <v>112847.9008496897</v>
      </c>
      <c r="D17" s="6">
        <v>0</v>
      </c>
      <c r="E17" s="6">
        <f t="shared" si="5"/>
        <v>70529.938031056052</v>
      </c>
      <c r="F17" s="6">
        <f t="shared" si="0"/>
        <v>0</v>
      </c>
      <c r="G17" s="6">
        <f t="shared" si="1"/>
        <v>42317.962818633649</v>
      </c>
      <c r="H17" s="6">
        <f t="shared" si="2"/>
        <v>0</v>
      </c>
      <c r="I17" s="6">
        <f t="shared" si="3"/>
        <v>27977.15872536899</v>
      </c>
      <c r="J17" s="5"/>
    </row>
    <row r="18" spans="1:10" x14ac:dyDescent="0.2">
      <c r="A18">
        <v>15</v>
      </c>
      <c r="B18" s="6">
        <v>0</v>
      </c>
      <c r="C18" s="6">
        <f t="shared" si="4"/>
        <v>116797.57737942883</v>
      </c>
      <c r="D18" s="6">
        <v>0</v>
      </c>
      <c r="E18" s="6">
        <f t="shared" si="5"/>
        <v>72998.485862143003</v>
      </c>
      <c r="F18" s="6">
        <f t="shared" si="0"/>
        <v>0</v>
      </c>
      <c r="G18" s="6">
        <f t="shared" si="1"/>
        <v>43799.091517285822</v>
      </c>
      <c r="H18" s="6">
        <f t="shared" si="2"/>
        <v>0</v>
      </c>
      <c r="I18" s="6">
        <f t="shared" si="3"/>
        <v>28112.970175492137</v>
      </c>
      <c r="J18" s="5"/>
    </row>
    <row r="19" spans="1:10" x14ac:dyDescent="0.2">
      <c r="A19">
        <v>16</v>
      </c>
      <c r="B19" s="6">
        <v>0</v>
      </c>
      <c r="C19" s="6">
        <f t="shared" si="4"/>
        <v>120885.49258770882</v>
      </c>
      <c r="D19" s="6">
        <v>0</v>
      </c>
      <c r="E19" s="6">
        <f t="shared" si="5"/>
        <v>75553.432867317999</v>
      </c>
      <c r="F19" s="6">
        <f t="shared" si="0"/>
        <v>0</v>
      </c>
      <c r="G19" s="6">
        <f t="shared" si="1"/>
        <v>45332.059720390826</v>
      </c>
      <c r="H19" s="6">
        <f t="shared" si="2"/>
        <v>0</v>
      </c>
      <c r="I19" s="6">
        <f t="shared" si="3"/>
        <v>28249.440904499384</v>
      </c>
      <c r="J19" s="5"/>
    </row>
    <row r="20" spans="1:10" x14ac:dyDescent="0.2">
      <c r="A20">
        <v>17</v>
      </c>
      <c r="B20" s="6">
        <v>0</v>
      </c>
      <c r="C20" s="6">
        <f t="shared" si="4"/>
        <v>125116.48482827863</v>
      </c>
      <c r="D20" s="6">
        <v>0</v>
      </c>
      <c r="E20" s="6">
        <f t="shared" si="5"/>
        <v>78197.803017674116</v>
      </c>
      <c r="F20" s="6">
        <f t="shared" si="0"/>
        <v>0</v>
      </c>
      <c r="G20" s="6">
        <f t="shared" si="1"/>
        <v>46918.68181060451</v>
      </c>
      <c r="H20" s="6">
        <f t="shared" si="2"/>
        <v>0</v>
      </c>
      <c r="I20" s="6">
        <f t="shared" si="3"/>
        <v>28386.574112773658</v>
      </c>
      <c r="J20" s="5"/>
    </row>
    <row r="21" spans="1:10" x14ac:dyDescent="0.2">
      <c r="A21">
        <v>18</v>
      </c>
      <c r="B21" s="6">
        <v>0</v>
      </c>
      <c r="C21" s="6">
        <f t="shared" si="4"/>
        <v>129495.56179726837</v>
      </c>
      <c r="D21" s="6">
        <v>0</v>
      </c>
      <c r="E21" s="6">
        <f t="shared" si="5"/>
        <v>80934.726123292698</v>
      </c>
      <c r="F21" s="6">
        <f t="shared" si="0"/>
        <v>0</v>
      </c>
      <c r="G21" s="6">
        <f t="shared" si="1"/>
        <v>48560.835673975671</v>
      </c>
      <c r="H21" s="6">
        <f t="shared" si="2"/>
        <v>0</v>
      </c>
      <c r="I21" s="6">
        <f t="shared" si="3"/>
        <v>28524.373016233723</v>
      </c>
      <c r="J21" s="5"/>
    </row>
    <row r="22" spans="1:10" x14ac:dyDescent="0.2">
      <c r="A22">
        <v>19</v>
      </c>
      <c r="B22" s="6">
        <v>0</v>
      </c>
      <c r="C22" s="6">
        <f t="shared" si="4"/>
        <v>134027.90646017276</v>
      </c>
      <c r="D22" s="6">
        <v>0</v>
      </c>
      <c r="E22" s="6">
        <f t="shared" si="5"/>
        <v>83767.441537607941</v>
      </c>
      <c r="F22" s="6">
        <f t="shared" si="0"/>
        <v>0</v>
      </c>
      <c r="G22" s="6">
        <f t="shared" si="1"/>
        <v>50260.464922564817</v>
      </c>
      <c r="H22" s="6">
        <f t="shared" si="2"/>
        <v>0</v>
      </c>
      <c r="I22" s="6">
        <f t="shared" si="3"/>
        <v>28662.840846409617</v>
      </c>
      <c r="J22" s="5"/>
    </row>
    <row r="23" spans="1:10" x14ac:dyDescent="0.2">
      <c r="A23">
        <v>20</v>
      </c>
      <c r="B23" s="6">
        <v>0</v>
      </c>
      <c r="C23" s="6">
        <f t="shared" si="4"/>
        <v>138718.88318627881</v>
      </c>
      <c r="D23" s="6">
        <v>0</v>
      </c>
      <c r="E23" s="6">
        <f t="shared" si="5"/>
        <v>86699.301991424218</v>
      </c>
      <c r="F23" s="6">
        <f t="shared" si="0"/>
        <v>0</v>
      </c>
      <c r="G23" s="6">
        <f t="shared" si="1"/>
        <v>52019.581194854589</v>
      </c>
      <c r="H23" s="6">
        <f t="shared" si="2"/>
        <v>0</v>
      </c>
      <c r="I23" s="6">
        <f t="shared" si="3"/>
        <v>28801.980850518401</v>
      </c>
      <c r="J23" s="5"/>
    </row>
    <row r="24" spans="1:10" x14ac:dyDescent="0.2">
      <c r="A24">
        <v>21</v>
      </c>
      <c r="B24" s="6">
        <v>0</v>
      </c>
      <c r="C24" s="6">
        <f t="shared" si="4"/>
        <v>143574.04409779856</v>
      </c>
      <c r="D24" s="6">
        <v>0</v>
      </c>
      <c r="E24" s="6">
        <f t="shared" si="5"/>
        <v>89733.777561124065</v>
      </c>
      <c r="F24" s="6">
        <f t="shared" si="0"/>
        <v>0</v>
      </c>
      <c r="G24" s="6">
        <f t="shared" si="1"/>
        <v>53840.266536674491</v>
      </c>
      <c r="H24" s="6">
        <f t="shared" si="2"/>
        <v>0</v>
      </c>
      <c r="I24" s="6">
        <f t="shared" si="3"/>
        <v>28941.796291540337</v>
      </c>
      <c r="J24" s="5"/>
    </row>
    <row r="25" spans="1:10" x14ac:dyDescent="0.2">
      <c r="A25">
        <v>22</v>
      </c>
      <c r="B25" s="6">
        <v>0</v>
      </c>
      <c r="C25" s="6">
        <f t="shared" si="4"/>
        <v>148599.13564122148</v>
      </c>
      <c r="D25" s="6">
        <v>0</v>
      </c>
      <c r="E25" s="6">
        <f t="shared" si="5"/>
        <v>92874.459775763404</v>
      </c>
      <c r="F25" s="6">
        <f t="shared" si="0"/>
        <v>0</v>
      </c>
      <c r="G25" s="6">
        <f t="shared" si="1"/>
        <v>55724.675865458077</v>
      </c>
      <c r="H25" s="6">
        <f t="shared" si="2"/>
        <v>0</v>
      </c>
      <c r="I25" s="6">
        <f t="shared" si="3"/>
        <v>29082.290448295371</v>
      </c>
      <c r="J25" s="5"/>
    </row>
    <row r="26" spans="1:10" x14ac:dyDescent="0.2">
      <c r="A26">
        <v>23</v>
      </c>
      <c r="B26" s="6">
        <v>0</v>
      </c>
      <c r="C26" s="6">
        <f t="shared" si="4"/>
        <v>153800.10538866423</v>
      </c>
      <c r="D26" s="6">
        <v>0</v>
      </c>
      <c r="E26" s="6">
        <f t="shared" si="5"/>
        <v>96125.065867915109</v>
      </c>
      <c r="F26" s="6">
        <f t="shared" si="0"/>
        <v>0</v>
      </c>
      <c r="G26" s="6">
        <f t="shared" si="1"/>
        <v>57675.039520749124</v>
      </c>
      <c r="H26" s="6">
        <f t="shared" si="2"/>
        <v>0</v>
      </c>
      <c r="I26" s="6">
        <f t="shared" si="3"/>
        <v>29223.466615520112</v>
      </c>
      <c r="J26" s="5"/>
    </row>
    <row r="27" spans="1:10" x14ac:dyDescent="0.2">
      <c r="A27">
        <v>24</v>
      </c>
      <c r="B27" s="6">
        <v>0</v>
      </c>
      <c r="C27" s="6">
        <f t="shared" si="4"/>
        <v>159183.10907726747</v>
      </c>
      <c r="D27" s="6">
        <v>0</v>
      </c>
      <c r="E27" s="6">
        <f t="shared" si="5"/>
        <v>99489.443173292137</v>
      </c>
      <c r="F27" s="6">
        <f t="shared" si="0"/>
        <v>0</v>
      </c>
      <c r="G27" s="6">
        <f t="shared" si="1"/>
        <v>59693.665903975329</v>
      </c>
      <c r="H27" s="6">
        <f t="shared" si="2"/>
        <v>0</v>
      </c>
      <c r="I27" s="6">
        <f t="shared" si="3"/>
        <v>29365.328103944965</v>
      </c>
      <c r="J27" s="5"/>
    </row>
    <row r="28" spans="1:10" x14ac:dyDescent="0.2">
      <c r="A28">
        <v>25</v>
      </c>
      <c r="B28" s="6">
        <v>0</v>
      </c>
      <c r="C28" s="6">
        <f t="shared" si="4"/>
        <v>164754.51789497182</v>
      </c>
      <c r="D28" s="6">
        <v>0</v>
      </c>
      <c r="E28" s="6">
        <f t="shared" si="5"/>
        <v>102971.57368435735</v>
      </c>
      <c r="F28" s="6">
        <f t="shared" si="0"/>
        <v>0</v>
      </c>
      <c r="G28" s="6">
        <f t="shared" si="1"/>
        <v>61782.944210614471</v>
      </c>
      <c r="H28" s="6">
        <f t="shared" si="2"/>
        <v>0</v>
      </c>
      <c r="I28" s="6">
        <f t="shared" si="3"/>
        <v>29507.878240371883</v>
      </c>
      <c r="J28" s="5"/>
    </row>
    <row r="29" spans="1:10" x14ac:dyDescent="0.2">
      <c r="A29">
        <v>26</v>
      </c>
      <c r="B29" s="6">
        <v>0</v>
      </c>
      <c r="C29" s="6">
        <f t="shared" si="4"/>
        <v>170520.92602129583</v>
      </c>
      <c r="D29" s="6">
        <v>0</v>
      </c>
      <c r="E29" s="6">
        <f t="shared" si="5"/>
        <v>106575.57876330985</v>
      </c>
      <c r="F29" s="6">
        <f t="shared" si="0"/>
        <v>0</v>
      </c>
      <c r="G29" s="6">
        <f t="shared" si="1"/>
        <v>63945.347257985981</v>
      </c>
      <c r="H29" s="6">
        <f t="shared" si="2"/>
        <v>0</v>
      </c>
      <c r="I29" s="6">
        <f t="shared" si="3"/>
        <v>29651.120367752326</v>
      </c>
      <c r="J29" s="5"/>
    </row>
    <row r="30" spans="1:10" x14ac:dyDescent="0.2">
      <c r="A30">
        <v>27</v>
      </c>
      <c r="B30" s="6">
        <v>0</v>
      </c>
      <c r="C30" s="6">
        <f t="shared" si="4"/>
        <v>176489.15843204118</v>
      </c>
      <c r="D30" s="6">
        <v>0</v>
      </c>
      <c r="E30" s="6">
        <f t="shared" si="5"/>
        <v>110305.72402002569</v>
      </c>
      <c r="F30" s="6">
        <f t="shared" si="0"/>
        <v>0</v>
      </c>
      <c r="G30" s="6">
        <f t="shared" si="1"/>
        <v>66183.434412015486</v>
      </c>
      <c r="H30" s="6">
        <f t="shared" si="2"/>
        <v>0</v>
      </c>
      <c r="I30" s="6">
        <f t="shared" si="3"/>
        <v>29795.057845265692</v>
      </c>
      <c r="J30" s="5"/>
    </row>
    <row r="31" spans="1:10" x14ac:dyDescent="0.2">
      <c r="A31">
        <v>28</v>
      </c>
      <c r="B31" s="6">
        <v>0</v>
      </c>
      <c r="C31" s="6">
        <f t="shared" si="4"/>
        <v>182666.27897716261</v>
      </c>
      <c r="D31" s="6">
        <v>0</v>
      </c>
      <c r="E31" s="6">
        <f t="shared" si="5"/>
        <v>114166.42436072658</v>
      </c>
      <c r="F31" s="6">
        <f t="shared" si="0"/>
        <v>0</v>
      </c>
      <c r="G31" s="6">
        <f t="shared" si="1"/>
        <v>68499.85461643603</v>
      </c>
      <c r="H31" s="6">
        <f t="shared" si="2"/>
        <v>0</v>
      </c>
      <c r="I31" s="6">
        <f t="shared" si="3"/>
        <v>29939.694048398051</v>
      </c>
      <c r="J31" s="5"/>
    </row>
    <row r="32" spans="1:10" x14ac:dyDescent="0.2">
      <c r="A32">
        <v>29</v>
      </c>
      <c r="B32" s="6">
        <v>0</v>
      </c>
      <c r="C32" s="6">
        <f t="shared" si="4"/>
        <v>189059.5987413633</v>
      </c>
      <c r="D32" s="6">
        <v>0</v>
      </c>
      <c r="E32" s="6">
        <f t="shared" si="5"/>
        <v>118162.249213352</v>
      </c>
      <c r="F32" s="6">
        <f t="shared" si="0"/>
        <v>0</v>
      </c>
      <c r="G32" s="6">
        <f t="shared" si="1"/>
        <v>70897.349528011298</v>
      </c>
      <c r="H32" s="6">
        <f t="shared" si="2"/>
        <v>0</v>
      </c>
      <c r="I32" s="6">
        <f t="shared" si="3"/>
        <v>30085.032369021348</v>
      </c>
      <c r="J32" s="5"/>
    </row>
    <row r="33" spans="1:10" x14ac:dyDescent="0.2">
      <c r="A33">
        <v>30</v>
      </c>
      <c r="B33" s="6">
        <v>0</v>
      </c>
      <c r="C33" s="6">
        <f t="shared" si="4"/>
        <v>195676.68469731099</v>
      </c>
      <c r="D33" s="6">
        <v>0</v>
      </c>
      <c r="E33" s="6">
        <f t="shared" si="5"/>
        <v>122297.92793581932</v>
      </c>
      <c r="F33" s="6">
        <f t="shared" si="0"/>
        <v>0</v>
      </c>
      <c r="G33" s="6">
        <f t="shared" si="1"/>
        <v>73378.756761491677</v>
      </c>
      <c r="H33" s="6">
        <f t="shared" si="2"/>
        <v>0</v>
      </c>
      <c r="I33" s="6">
        <f t="shared" si="3"/>
        <v>30231.076215472898</v>
      </c>
      <c r="J33" s="5"/>
    </row>
    <row r="34" spans="1:10" x14ac:dyDescent="0.2">
      <c r="A34">
        <v>31</v>
      </c>
      <c r="B34" s="6">
        <v>0</v>
      </c>
      <c r="C34" s="6">
        <f t="shared" si="4"/>
        <v>202525.36866171687</v>
      </c>
      <c r="D34" s="6">
        <v>0</v>
      </c>
      <c r="E34" s="6">
        <f t="shared" si="5"/>
        <v>126578.35541357298</v>
      </c>
      <c r="F34" s="6">
        <f t="shared" si="0"/>
        <v>0</v>
      </c>
      <c r="G34" s="6">
        <f t="shared" si="1"/>
        <v>75947.013248143892</v>
      </c>
      <c r="H34" s="6">
        <f t="shared" si="2"/>
        <v>0</v>
      </c>
      <c r="I34" s="6">
        <f t="shared" si="3"/>
        <v>30377.829012635386</v>
      </c>
      <c r="J34" s="5"/>
    </row>
    <row r="35" spans="1:10" x14ac:dyDescent="0.2">
      <c r="A35">
        <v>32</v>
      </c>
      <c r="B35" s="6">
        <v>0</v>
      </c>
      <c r="C35" s="6">
        <f t="shared" si="4"/>
        <v>209613.75656487694</v>
      </c>
      <c r="D35" s="6">
        <v>0</v>
      </c>
      <c r="E35" s="6">
        <f t="shared" si="5"/>
        <v>131008.59785304802</v>
      </c>
      <c r="F35" s="6">
        <f t="shared" si="0"/>
        <v>0</v>
      </c>
      <c r="G35" s="6">
        <f t="shared" si="1"/>
        <v>78605.158711828917</v>
      </c>
      <c r="H35" s="6">
        <f t="shared" si="2"/>
        <v>0</v>
      </c>
      <c r="I35" s="6">
        <f t="shared" si="3"/>
        <v>30525.294202017114</v>
      </c>
      <c r="J35" s="5"/>
    </row>
    <row r="36" spans="1:10" x14ac:dyDescent="0.2">
      <c r="A36">
        <v>33</v>
      </c>
      <c r="B36" s="6">
        <v>0</v>
      </c>
      <c r="C36" s="6">
        <f t="shared" si="4"/>
        <v>216950.23804464762</v>
      </c>
      <c r="D36" s="6">
        <v>0</v>
      </c>
      <c r="E36" s="6">
        <f t="shared" si="5"/>
        <v>135593.89877790469</v>
      </c>
      <c r="F36" s="6">
        <f t="shared" si="0"/>
        <v>0</v>
      </c>
      <c r="G36" s="6">
        <f t="shared" si="1"/>
        <v>81356.339266742929</v>
      </c>
      <c r="H36" s="6">
        <f t="shared" si="2"/>
        <v>0</v>
      </c>
      <c r="I36" s="6">
        <f t="shared" si="3"/>
        <v>30673.47524183273</v>
      </c>
      <c r="J36" s="5"/>
    </row>
    <row r="37" spans="1:10" x14ac:dyDescent="0.2">
      <c r="A37">
        <v>34</v>
      </c>
      <c r="B37" s="6">
        <v>0</v>
      </c>
      <c r="C37" s="6">
        <f t="shared" si="4"/>
        <v>224543.49637621027</v>
      </c>
      <c r="D37" s="6">
        <v>0</v>
      </c>
      <c r="E37" s="6">
        <f t="shared" si="5"/>
        <v>140339.68523513133</v>
      </c>
      <c r="F37" s="6">
        <f t="shared" si="0"/>
        <v>0</v>
      </c>
      <c r="G37" s="6">
        <f t="shared" si="1"/>
        <v>84203.811141078942</v>
      </c>
      <c r="H37" s="6">
        <f t="shared" si="2"/>
        <v>0</v>
      </c>
      <c r="I37" s="6">
        <f t="shared" si="3"/>
        <v>30822.375607084352</v>
      </c>
      <c r="J37" s="5"/>
    </row>
    <row r="38" spans="1:10" x14ac:dyDescent="0.2">
      <c r="A38">
        <v>35</v>
      </c>
      <c r="B38" s="6">
        <v>0</v>
      </c>
      <c r="C38" s="6">
        <f t="shared" si="4"/>
        <v>232402.5187493776</v>
      </c>
      <c r="D38" s="6">
        <v>0</v>
      </c>
      <c r="E38" s="6">
        <f t="shared" si="5"/>
        <v>145251.57421836091</v>
      </c>
      <c r="F38" s="6">
        <f t="shared" si="0"/>
        <v>0</v>
      </c>
      <c r="G38" s="6">
        <f t="shared" si="1"/>
        <v>87150.944531016692</v>
      </c>
      <c r="H38" s="6">
        <f t="shared" si="2"/>
        <v>0</v>
      </c>
      <c r="I38" s="6">
        <f t="shared" si="3"/>
        <v>30971.998789643007</v>
      </c>
      <c r="J38" s="5"/>
    </row>
    <row r="39" spans="1:10" x14ac:dyDescent="0.2">
      <c r="A39">
        <v>36</v>
      </c>
      <c r="B39" s="6">
        <v>0</v>
      </c>
      <c r="C39" s="6">
        <f t="shared" si="4"/>
        <v>240536.60690560579</v>
      </c>
      <c r="D39" s="6">
        <v>0</v>
      </c>
      <c r="E39" s="6">
        <f t="shared" si="5"/>
        <v>150335.37931600353</v>
      </c>
      <c r="F39" s="6">
        <f t="shared" si="0"/>
        <v>0</v>
      </c>
      <c r="G39" s="6">
        <f t="shared" si="1"/>
        <v>90201.227589602262</v>
      </c>
      <c r="H39" s="6">
        <f t="shared" si="2"/>
        <v>0</v>
      </c>
      <c r="I39" s="6">
        <f t="shared" si="3"/>
        <v>31122.348298330591</v>
      </c>
      <c r="J39" s="5"/>
    </row>
    <row r="40" spans="1:10" x14ac:dyDescent="0.2">
      <c r="A40">
        <v>37</v>
      </c>
      <c r="B40" s="6">
        <v>0</v>
      </c>
      <c r="C40" s="6">
        <f>C39*(1+$L$2)</f>
        <v>248955.38814730197</v>
      </c>
      <c r="D40" s="6">
        <v>0</v>
      </c>
      <c r="E40" s="6">
        <f t="shared" si="5"/>
        <v>155597.11759206365</v>
      </c>
      <c r="F40" s="6">
        <f t="shared" si="0"/>
        <v>0</v>
      </c>
      <c r="G40" s="6">
        <f t="shared" si="1"/>
        <v>93358.270555238327</v>
      </c>
      <c r="H40" s="6">
        <f t="shared" si="2"/>
        <v>0</v>
      </c>
      <c r="I40" s="6">
        <f t="shared" si="3"/>
        <v>31273.427659002096</v>
      </c>
      <c r="J40" s="5"/>
    </row>
    <row r="41" spans="1:10" x14ac:dyDescent="0.2">
      <c r="A41">
        <v>38</v>
      </c>
      <c r="B41" s="6">
        <v>0</v>
      </c>
      <c r="C41" s="6">
        <f t="shared" si="4"/>
        <v>257668.82673245753</v>
      </c>
      <c r="D41" s="6">
        <v>0</v>
      </c>
      <c r="E41" s="6">
        <f t="shared" si="5"/>
        <v>161043.01670778586</v>
      </c>
      <c r="F41" s="6">
        <f t="shared" si="0"/>
        <v>0</v>
      </c>
      <c r="G41" s="6">
        <f t="shared" si="1"/>
        <v>96625.810024671664</v>
      </c>
      <c r="H41" s="6">
        <f t="shared" si="2"/>
        <v>0</v>
      </c>
      <c r="I41" s="6">
        <f t="shared" si="3"/>
        <v>31425.240414628319</v>
      </c>
      <c r="J41" s="5"/>
    </row>
    <row r="42" spans="1:10" x14ac:dyDescent="0.2">
      <c r="A42">
        <v>39</v>
      </c>
      <c r="B42" s="6">
        <v>0</v>
      </c>
      <c r="C42" s="6">
        <f t="shared" si="4"/>
        <v>266687.23566809355</v>
      </c>
      <c r="D42" s="6">
        <v>0</v>
      </c>
      <c r="E42" s="6">
        <f t="shared" si="5"/>
        <v>166679.52229255837</v>
      </c>
      <c r="F42" s="6">
        <f t="shared" si="0"/>
        <v>0</v>
      </c>
      <c r="G42" s="6">
        <f t="shared" si="1"/>
        <v>100007.71337553518</v>
      </c>
      <c r="H42" s="6">
        <f t="shared" si="2"/>
        <v>0</v>
      </c>
      <c r="I42" s="6">
        <f t="shared" si="3"/>
        <v>31577.790125378942</v>
      </c>
      <c r="J42" s="5"/>
    </row>
    <row r="43" spans="1:10" x14ac:dyDescent="0.2">
      <c r="A43">
        <v>40</v>
      </c>
      <c r="B43" s="6">
        <v>0</v>
      </c>
      <c r="C43" s="6">
        <f t="shared" si="4"/>
        <v>276021.28891647683</v>
      </c>
      <c r="D43" s="6">
        <v>0</v>
      </c>
      <c r="E43" s="6">
        <f t="shared" si="5"/>
        <v>172513.30557279789</v>
      </c>
      <c r="F43" s="6">
        <f t="shared" si="0"/>
        <v>0</v>
      </c>
      <c r="G43" s="6">
        <f t="shared" si="1"/>
        <v>103507.98334367893</v>
      </c>
      <c r="H43" s="6">
        <f t="shared" si="2"/>
        <v>0</v>
      </c>
      <c r="I43" s="6">
        <f t="shared" si="3"/>
        <v>31731.080368706036</v>
      </c>
      <c r="J43" s="5"/>
    </row>
    <row r="44" spans="1:10" x14ac:dyDescent="0.2">
      <c r="A44">
        <v>41</v>
      </c>
      <c r="B44" s="6">
        <v>0</v>
      </c>
      <c r="C44" s="6">
        <f t="shared" si="4"/>
        <v>285682.03402855352</v>
      </c>
      <c r="D44" s="6">
        <v>0</v>
      </c>
      <c r="E44" s="6">
        <f t="shared" si="5"/>
        <v>178551.27126784582</v>
      </c>
      <c r="F44" s="6">
        <f t="shared" si="0"/>
        <v>0</v>
      </c>
      <c r="G44" s="6">
        <f t="shared" si="1"/>
        <v>107130.7627607077</v>
      </c>
      <c r="H44" s="6">
        <f t="shared" si="2"/>
        <v>0</v>
      </c>
      <c r="I44" s="6">
        <f t="shared" si="3"/>
        <v>31885.114739427907</v>
      </c>
      <c r="J44" s="5"/>
    </row>
    <row r="45" spans="1:10" x14ac:dyDescent="0.2">
      <c r="A45">
        <v>42</v>
      </c>
      <c r="B45" s="6">
        <v>0</v>
      </c>
      <c r="C45" s="6">
        <f t="shared" si="4"/>
        <v>295680.90521955286</v>
      </c>
      <c r="D45" s="6">
        <v>0</v>
      </c>
      <c r="E45" s="6">
        <f t="shared" si="5"/>
        <v>184800.56576222042</v>
      </c>
      <c r="F45" s="6">
        <f t="shared" si="0"/>
        <v>0</v>
      </c>
      <c r="G45" s="6">
        <f t="shared" si="1"/>
        <v>110880.33945733245</v>
      </c>
      <c r="H45" s="6">
        <f t="shared" si="2"/>
        <v>0</v>
      </c>
      <c r="I45" s="6">
        <f t="shared" si="3"/>
        <v>32039.896849813471</v>
      </c>
      <c r="J45" s="5"/>
    </row>
    <row r="46" spans="1:10" x14ac:dyDescent="0.2">
      <c r="A46">
        <v>43</v>
      </c>
      <c r="B46" s="6">
        <v>0</v>
      </c>
      <c r="C46" s="6">
        <f t="shared" si="4"/>
        <v>306029.73690223717</v>
      </c>
      <c r="D46" s="6">
        <v>0</v>
      </c>
      <c r="E46" s="6">
        <f t="shared" si="5"/>
        <v>191268.58556389812</v>
      </c>
      <c r="F46" s="6">
        <f t="shared" si="0"/>
        <v>0</v>
      </c>
      <c r="G46" s="6">
        <f t="shared" si="1"/>
        <v>114761.15133833906</v>
      </c>
      <c r="H46" s="6">
        <f t="shared" si="2"/>
        <v>0</v>
      </c>
      <c r="I46" s="6">
        <f t="shared" si="3"/>
        <v>32195.430329666928</v>
      </c>
      <c r="J46" s="5"/>
    </row>
    <row r="47" spans="1:10" x14ac:dyDescent="0.2">
      <c r="A47" t="s">
        <v>6</v>
      </c>
      <c r="B47" s="6">
        <f>SUM(SUM(B3:B46))</f>
        <v>280000</v>
      </c>
      <c r="C47" s="6">
        <f t="shared" ref="C47:E47" si="6">SUM(SUM(C3:C46))</f>
        <v>6764022.2198233111</v>
      </c>
      <c r="D47" s="6">
        <f t="shared" si="6"/>
        <v>0</v>
      </c>
      <c r="E47" s="6">
        <f t="shared" si="6"/>
        <v>4347513.8873895677</v>
      </c>
      <c r="F47" s="6">
        <f>SUM(SUM(F3:F46))</f>
        <v>280000</v>
      </c>
      <c r="G47" s="6">
        <f t="shared" ref="G47" si="7">SUM(SUM(G3:G46))</f>
        <v>2416508.3324337439</v>
      </c>
      <c r="H47" s="6">
        <f t="shared" ref="H47" si="8">SUM(SUM(H3:H46))</f>
        <v>268002.79484262766</v>
      </c>
      <c r="I47" s="6">
        <f t="shared" ref="I47" si="9">SUM(SUM(I3:I46))</f>
        <v>1058745.7814752613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F95C-F4E0-134D-B5BD-16A49D0BEB63}">
  <dimension ref="A1:I11"/>
  <sheetViews>
    <sheetView tabSelected="1" workbookViewId="0">
      <selection activeCell="M14" sqref="M14"/>
    </sheetView>
  </sheetViews>
  <sheetFormatPr baseColWidth="10" defaultRowHeight="16" x14ac:dyDescent="0.2"/>
  <cols>
    <col min="3" max="3" width="14.5" customWidth="1"/>
    <col min="4" max="4" width="12.1640625" customWidth="1"/>
    <col min="5" max="5" width="13.5" customWidth="1"/>
    <col min="6" max="6" width="14.83203125" customWidth="1"/>
    <col min="7" max="7" width="15.33203125" customWidth="1"/>
    <col min="8" max="8" width="13.5" customWidth="1"/>
    <col min="9" max="9" width="13" customWidth="1"/>
  </cols>
  <sheetData>
    <row r="1" spans="1:9" x14ac:dyDescent="0.2">
      <c r="A1" s="7" t="s">
        <v>0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</row>
    <row r="2" spans="1:9" x14ac:dyDescent="0.2">
      <c r="A2" s="8">
        <v>0</v>
      </c>
      <c r="B2" s="8">
        <v>70000</v>
      </c>
      <c r="C2" s="8">
        <v>0</v>
      </c>
      <c r="D2" s="8">
        <v>0</v>
      </c>
      <c r="E2" s="8">
        <v>30000</v>
      </c>
      <c r="F2" s="8">
        <v>70000</v>
      </c>
      <c r="G2" s="8">
        <v>-30000</v>
      </c>
      <c r="H2" s="8">
        <v>70000</v>
      </c>
      <c r="I2" s="8">
        <v>-30000</v>
      </c>
    </row>
    <row r="3" spans="1:9" x14ac:dyDescent="0.2">
      <c r="A3" s="8">
        <v>1</v>
      </c>
      <c r="B3" s="8">
        <v>70000</v>
      </c>
      <c r="C3" s="8">
        <v>0</v>
      </c>
      <c r="D3" s="8">
        <v>0</v>
      </c>
      <c r="E3" s="8">
        <v>30000</v>
      </c>
      <c r="F3" s="8">
        <v>70000</v>
      </c>
      <c r="G3" s="8">
        <v>-30000</v>
      </c>
      <c r="H3" s="8">
        <v>67961</v>
      </c>
      <c r="I3" s="8">
        <v>-29126</v>
      </c>
    </row>
    <row r="4" spans="1:9" x14ac:dyDescent="0.2">
      <c r="A4" s="8">
        <v>2</v>
      </c>
      <c r="B4" s="8">
        <v>70000</v>
      </c>
      <c r="C4" s="8">
        <v>0</v>
      </c>
      <c r="D4" s="8">
        <v>0</v>
      </c>
      <c r="E4" s="8">
        <v>30000</v>
      </c>
      <c r="F4" s="8">
        <v>70000</v>
      </c>
      <c r="G4" s="8">
        <v>-30000</v>
      </c>
      <c r="H4" s="8">
        <v>65982</v>
      </c>
      <c r="I4" s="8">
        <v>-28278</v>
      </c>
    </row>
    <row r="5" spans="1:9" x14ac:dyDescent="0.2">
      <c r="A5" s="8">
        <v>3</v>
      </c>
      <c r="B5" s="8">
        <v>70000</v>
      </c>
      <c r="C5" s="8">
        <v>0</v>
      </c>
      <c r="D5" s="8">
        <v>0</v>
      </c>
      <c r="E5" s="8">
        <v>30000</v>
      </c>
      <c r="F5" s="8">
        <v>70000</v>
      </c>
      <c r="G5" s="8">
        <v>-30000</v>
      </c>
      <c r="H5" s="8">
        <v>64060</v>
      </c>
      <c r="I5" s="8">
        <v>-27454</v>
      </c>
    </row>
    <row r="6" spans="1:9" x14ac:dyDescent="0.2">
      <c r="A6" s="8">
        <v>4</v>
      </c>
      <c r="B6" s="8">
        <v>0</v>
      </c>
      <c r="C6" s="8">
        <v>80000</v>
      </c>
      <c r="D6" s="8">
        <v>0</v>
      </c>
      <c r="E6" s="8">
        <v>50000</v>
      </c>
      <c r="F6" s="8">
        <v>0</v>
      </c>
      <c r="G6" s="8">
        <v>30000</v>
      </c>
      <c r="H6" s="8">
        <v>0</v>
      </c>
      <c r="I6" s="8">
        <v>26655</v>
      </c>
    </row>
    <row r="7" spans="1:9" x14ac:dyDescent="0.2">
      <c r="A7" s="8">
        <v>5</v>
      </c>
      <c r="B7" s="8">
        <v>0</v>
      </c>
      <c r="C7" s="8">
        <v>82800</v>
      </c>
      <c r="D7" s="8">
        <v>0</v>
      </c>
      <c r="E7" s="8">
        <v>51750</v>
      </c>
      <c r="F7" s="8">
        <v>0</v>
      </c>
      <c r="G7" s="10" t="s">
        <v>17</v>
      </c>
      <c r="H7" s="8">
        <v>0</v>
      </c>
      <c r="I7" s="8">
        <v>26784</v>
      </c>
    </row>
    <row r="8" spans="1:9" x14ac:dyDescent="0.2">
      <c r="A8" s="8">
        <v>6</v>
      </c>
      <c r="B8" s="8">
        <v>0</v>
      </c>
      <c r="C8" s="8">
        <v>85698</v>
      </c>
      <c r="D8" s="8">
        <v>0</v>
      </c>
      <c r="E8" s="8">
        <v>53561</v>
      </c>
      <c r="F8" s="8">
        <v>0</v>
      </c>
      <c r="G8" s="8">
        <v>32137</v>
      </c>
      <c r="H8" s="8">
        <v>0</v>
      </c>
      <c r="I8" s="8">
        <v>26914</v>
      </c>
    </row>
    <row r="9" spans="1:9" x14ac:dyDescent="0.2">
      <c r="A9" s="8">
        <v>7</v>
      </c>
      <c r="B9" s="8">
        <v>0</v>
      </c>
      <c r="C9" s="8">
        <v>88697</v>
      </c>
      <c r="D9" s="8">
        <v>0</v>
      </c>
      <c r="E9" s="8">
        <v>55435</v>
      </c>
      <c r="F9" s="8">
        <v>0</v>
      </c>
      <c r="G9" s="8">
        <v>33262</v>
      </c>
      <c r="H9" s="8">
        <v>0</v>
      </c>
      <c r="I9" s="8">
        <v>27045</v>
      </c>
    </row>
    <row r="10" spans="1:9" x14ac:dyDescent="0.2">
      <c r="A10" s="9" t="s">
        <v>16</v>
      </c>
      <c r="B10" s="9" t="s">
        <v>16</v>
      </c>
      <c r="C10" s="9" t="s">
        <v>16</v>
      </c>
      <c r="D10" s="9" t="s">
        <v>16</v>
      </c>
      <c r="E10" s="9" t="s">
        <v>16</v>
      </c>
      <c r="F10" s="9" t="s">
        <v>16</v>
      </c>
      <c r="G10" s="9" t="s">
        <v>16</v>
      </c>
      <c r="H10" s="9" t="s">
        <v>16</v>
      </c>
      <c r="I10" s="9" t="s">
        <v>16</v>
      </c>
    </row>
    <row r="11" spans="1:9" x14ac:dyDescent="0.2">
      <c r="A11" t="s">
        <v>6</v>
      </c>
      <c r="B11" s="8">
        <v>280000</v>
      </c>
      <c r="C11" s="8">
        <v>6764022</v>
      </c>
      <c r="D11" s="8">
        <v>0</v>
      </c>
      <c r="E11" s="8">
        <v>4347514</v>
      </c>
      <c r="F11" s="8">
        <v>280000</v>
      </c>
      <c r="G11" s="8">
        <v>2416508</v>
      </c>
      <c r="H11" s="8">
        <v>268003</v>
      </c>
      <c r="I11" s="8">
        <v>1058746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2026-07-08T11:44:57Z</dcterms:created>
  <dcterms:modified xsi:type="dcterms:W3CDTF">2026-07-08T12:15:35Z</dcterms:modified>
</cp:coreProperties>
</file>